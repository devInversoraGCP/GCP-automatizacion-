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A2405C9-2253-4AA7-852F-D7D27E5178D3}" xr6:coauthVersionLast="47" xr6:coauthVersionMax="47" xr10:uidLastSave="{00000000-0000-0000-0000-000000000000}"/>
  <bookViews>
    <workbookView xWindow="-28920" yWindow="-120" windowWidth="29040" windowHeight="15720" xr2:uid="{CE11DF1F-B758-42C0-B60B-5FCF152A8307}"/>
  </bookViews>
  <sheets>
    <sheet name="CLIENT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1" l="1"/>
  <c r="H22" i="1"/>
  <c r="I22" i="1" s="1"/>
  <c r="J17" i="1"/>
  <c r="E17" i="1"/>
  <c r="H25" i="1" s="1"/>
  <c r="E16" i="1"/>
  <c r="I14" i="1"/>
  <c r="E12" i="1"/>
  <c r="C23" i="1" s="1"/>
  <c r="E23" i="1" s="1"/>
  <c r="E27" i="1" s="1"/>
  <c r="H23" i="1" l="1"/>
  <c r="E20" i="1"/>
</calcChain>
</file>

<file path=xl/sharedStrings.xml><?xml version="1.0" encoding="utf-8"?>
<sst xmlns="http://schemas.openxmlformats.org/spreadsheetml/2006/main" count="43" uniqueCount="42">
  <si>
    <t xml:space="preserve">TIPO DE IVA : AFECTO </t>
  </si>
  <si>
    <t>ABRIL</t>
  </si>
  <si>
    <t>Plazo de pago</t>
  </si>
  <si>
    <t>MES ANTERIOR</t>
  </si>
  <si>
    <t>CODIGO F29</t>
  </si>
  <si>
    <t xml:space="preserve">PPM NETO DETERMINADO </t>
  </si>
  <si>
    <t>Documentos Emitidos</t>
  </si>
  <si>
    <t>N° de Doc</t>
  </si>
  <si>
    <t xml:space="preserve">Monto IVA </t>
  </si>
  <si>
    <t>RET. IMP. ÚNICO TRABJ.</t>
  </si>
  <si>
    <t>Facturas de Venta</t>
  </si>
  <si>
    <t>RET. LEY 21.133 (HONORARIOS)</t>
  </si>
  <si>
    <t xml:space="preserve">Comprobantes pago electronicos </t>
  </si>
  <si>
    <t>Remanente de credito fis.</t>
  </si>
  <si>
    <t>Nota de credito</t>
  </si>
  <si>
    <t>SII F29 MONTO</t>
  </si>
  <si>
    <t>TOTAL IVA VENTAS</t>
  </si>
  <si>
    <t>Facturas de Compra</t>
  </si>
  <si>
    <t xml:space="preserve">PPM </t>
  </si>
  <si>
    <t>Nota de Débito</t>
  </si>
  <si>
    <t>NC</t>
  </si>
  <si>
    <t>Declaración de ingreso (DIN)</t>
  </si>
  <si>
    <t>TOTAL IVA RECUPERABLE</t>
  </si>
  <si>
    <t>Remanente IVA Credito, para siguiente periodo</t>
  </si>
  <si>
    <t xml:space="preserve">Exento </t>
  </si>
  <si>
    <t>P</t>
  </si>
  <si>
    <t>cant</t>
  </si>
  <si>
    <t xml:space="preserve">Impuestos a pagar </t>
  </si>
  <si>
    <t>1) IVA POR PAGAR</t>
  </si>
  <si>
    <t>( IVA VENTAS - IVA RECUPERABLE)</t>
  </si>
  <si>
    <t>IVA</t>
  </si>
  <si>
    <t xml:space="preserve">Otros Impuestos y/o retenciones </t>
  </si>
  <si>
    <t>Base Imponible</t>
  </si>
  <si>
    <t>Tasa</t>
  </si>
  <si>
    <t>NETO</t>
  </si>
  <si>
    <t xml:space="preserve">2) PAGO PROVISIONAL MENSUAL </t>
  </si>
  <si>
    <t>BRUTO</t>
  </si>
  <si>
    <t>3) RETENCION BOLETA HONORARIOS</t>
  </si>
  <si>
    <r>
      <rPr>
        <sz val="11"/>
        <color indexed="9"/>
        <rFont val="Arial"/>
        <family val="2"/>
      </rPr>
      <t>4)</t>
    </r>
    <r>
      <rPr>
        <sz val="14"/>
        <color indexed="9"/>
        <rFont val="Arial"/>
        <family val="2"/>
      </rPr>
      <t xml:space="preserve"> Retenciòn Impuesto Unico ( Liquidaciones)</t>
    </r>
  </si>
  <si>
    <t>Total creditos</t>
  </si>
  <si>
    <t>(1 )Total Impuestos Mensual, a cancelar</t>
  </si>
  <si>
    <r>
      <rPr>
        <b/>
        <sz val="11"/>
        <color rgb="FFFF0000"/>
        <rFont val="Wingdings 2"/>
        <family val="1"/>
        <charset val="2"/>
      </rPr>
      <t>P</t>
    </r>
    <r>
      <rPr>
        <b/>
        <sz val="11"/>
        <color rgb="FFFF0000"/>
        <rFont val="Calibri"/>
        <family val="2"/>
        <scheme val="minor"/>
      </rPr>
      <t xml:space="preserve"> Verificado con la propuesta del SII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</si>
</sst>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[$-F800]dddd\,\ mmmm\ dd\,\ yyyy"/>
    <numFmt numFmtId="165" formatCode="0.000%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Arial"/>
      <family val="2"/>
    </font>
    <font>
      <u/>
      <sz val="14"/>
      <color rgb="FF000000"/>
      <name val="Arial"/>
      <family val="2"/>
    </font>
    <font>
      <sz val="14"/>
      <color theme="0"/>
      <name val="Arial"/>
      <family val="2"/>
    </font>
    <font>
      <sz val="12"/>
      <color rgb="FF000000"/>
      <name val="Arial"/>
      <family val="2"/>
    </font>
    <font>
      <sz val="11"/>
      <color theme="1"/>
      <name val="Wingdings 2"/>
      <family val="1"/>
      <charset val="2"/>
    </font>
    <font>
      <b/>
      <sz val="14"/>
      <color rgb="FF000000"/>
      <name val="Arial"/>
      <family val="2"/>
    </font>
    <font>
      <sz val="11"/>
      <color theme="0"/>
      <name val="Arial"/>
      <family val="2"/>
    </font>
    <font>
      <u/>
      <sz val="14"/>
      <color theme="0"/>
      <name val="Arial"/>
      <family val="2"/>
    </font>
    <font>
      <sz val="12"/>
      <color theme="1"/>
      <name val="Arial"/>
      <family val="2"/>
    </font>
    <font>
      <sz val="11"/>
      <color indexed="9"/>
      <name val="Arial"/>
      <family val="2"/>
    </font>
    <font>
      <sz val="14"/>
      <color indexed="9"/>
      <name val="Arial"/>
      <family val="2"/>
    </font>
    <font>
      <b/>
      <sz val="11"/>
      <color rgb="FFFF0000"/>
      <name val="Calibri"/>
      <family val="1"/>
      <charset val="2"/>
      <scheme val="minor"/>
    </font>
    <font>
      <b/>
      <sz val="11"/>
      <color rgb="FFFF0000"/>
      <name val="Wingdings 2"/>
      <family val="1"/>
      <charset val="2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CCCC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-0.49998474074526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1" tint="4.9989318521683403E-2"/>
        <bgColor rgb="FF000000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6" tint="-0.499984740745262"/>
        <bgColor rgb="FF000000"/>
      </patternFill>
    </fill>
    <fill>
      <patternFill patternType="solid">
        <fgColor theme="9" tint="-0.249977111117893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rgb="FF666666"/>
      </right>
      <top style="thin">
        <color indexed="64"/>
      </top>
      <bottom style="medium">
        <color rgb="FF666666"/>
      </bottom>
      <diagonal/>
    </border>
    <border>
      <left/>
      <right style="medium">
        <color rgb="FF666666"/>
      </right>
      <top style="thin">
        <color indexed="64"/>
      </top>
      <bottom style="medium">
        <color rgb="FF666666"/>
      </bottom>
      <diagonal/>
    </border>
    <border>
      <left/>
      <right style="thin">
        <color indexed="64"/>
      </right>
      <top style="thin">
        <color indexed="64"/>
      </top>
      <bottom style="medium">
        <color rgb="FF666666"/>
      </bottom>
      <diagonal/>
    </border>
    <border>
      <left style="thin">
        <color indexed="64"/>
      </left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 style="thin">
        <color indexed="64"/>
      </right>
      <top/>
      <bottom style="medium">
        <color rgb="FF666666"/>
      </bottom>
      <diagonal/>
    </border>
    <border>
      <left style="thin">
        <color indexed="64"/>
      </left>
      <right style="medium">
        <color rgb="FF666666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 style="thin">
        <color indexed="64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 style="thin">
        <color indexed="64"/>
      </left>
      <right style="medium">
        <color rgb="FF666666"/>
      </right>
      <top/>
      <bottom style="thin">
        <color indexed="64"/>
      </bottom>
      <diagonal/>
    </border>
    <border>
      <left/>
      <right style="medium">
        <color rgb="FF666666"/>
      </right>
      <top style="medium">
        <color rgb="FF666666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0" applyFont="1"/>
    <xf numFmtId="0" fontId="2" fillId="0" borderId="0" xfId="0" applyFont="1"/>
    <xf numFmtId="0" fontId="4" fillId="2" borderId="1" xfId="0" applyFont="1" applyFill="1" applyBorder="1"/>
    <xf numFmtId="164" fontId="4" fillId="2" borderId="2" xfId="0" applyNumberFormat="1" applyFont="1" applyFill="1" applyBorder="1" applyAlignment="1">
      <alignment horizontal="left"/>
    </xf>
    <xf numFmtId="164" fontId="4" fillId="2" borderId="3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2" borderId="4" xfId="0" applyFont="1" applyFill="1" applyBorder="1"/>
    <xf numFmtId="17" fontId="4" fillId="2" borderId="0" xfId="0" applyNumberFormat="1" applyFont="1" applyFill="1"/>
    <xf numFmtId="42" fontId="4" fillId="2" borderId="0" xfId="2" applyFont="1" applyFill="1" applyBorder="1"/>
    <xf numFmtId="0" fontId="5" fillId="2" borderId="5" xfId="0" applyFont="1" applyFill="1" applyBorder="1"/>
    <xf numFmtId="41" fontId="0" fillId="0" borderId="4" xfId="1" applyFont="1" applyBorder="1"/>
    <xf numFmtId="0" fontId="0" fillId="0" borderId="5" xfId="0" applyBorder="1"/>
    <xf numFmtId="0" fontId="6" fillId="3" borderId="6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horizontal="center" vertical="center" wrapText="1"/>
    </xf>
    <xf numFmtId="42" fontId="6" fillId="3" borderId="8" xfId="2" applyFont="1" applyFill="1" applyBorder="1" applyAlignment="1">
      <alignment horizontal="center" vertical="center" wrapText="1"/>
    </xf>
    <xf numFmtId="0" fontId="5" fillId="0" borderId="5" xfId="0" applyFont="1" applyBorder="1"/>
    <xf numFmtId="0" fontId="6" fillId="2" borderId="9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horizontal="center" vertical="center" wrapText="1"/>
    </xf>
    <xf numFmtId="42" fontId="4" fillId="2" borderId="11" xfId="2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vertical="center" wrapText="1"/>
    </xf>
    <xf numFmtId="41" fontId="0" fillId="0" borderId="13" xfId="1" applyFont="1" applyBorder="1"/>
    <xf numFmtId="0" fontId="0" fillId="0" borderId="14" xfId="0" applyBorder="1"/>
    <xf numFmtId="0" fontId="0" fillId="0" borderId="15" xfId="0" applyBorder="1"/>
    <xf numFmtId="0" fontId="6" fillId="4" borderId="16" xfId="0" applyFont="1" applyFill="1" applyBorder="1" applyAlignment="1">
      <alignment vertical="center" wrapText="1"/>
    </xf>
    <xf numFmtId="0" fontId="6" fillId="4" borderId="16" xfId="0" applyFont="1" applyFill="1" applyBorder="1" applyAlignment="1">
      <alignment horizontal="center" vertical="center" wrapText="1"/>
    </xf>
    <xf numFmtId="42" fontId="4" fillId="4" borderId="16" xfId="2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42" fontId="7" fillId="5" borderId="5" xfId="2" applyFont="1" applyFill="1" applyBorder="1" applyAlignment="1">
      <alignment horizontal="center" vertical="center" wrapText="1"/>
    </xf>
    <xf numFmtId="41" fontId="0" fillId="0" borderId="3" xfId="1" applyFont="1" applyBorder="1"/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42" fontId="4" fillId="0" borderId="11" xfId="2" applyFont="1" applyBorder="1" applyAlignment="1">
      <alignment horizontal="center" vertical="center" wrapText="1"/>
    </xf>
    <xf numFmtId="0" fontId="0" fillId="0" borderId="13" xfId="0" applyBorder="1"/>
    <xf numFmtId="41" fontId="0" fillId="0" borderId="15" xfId="1" applyFont="1" applyBorder="1"/>
    <xf numFmtId="42" fontId="0" fillId="0" borderId="0" xfId="0" applyNumberFormat="1"/>
    <xf numFmtId="41" fontId="0" fillId="0" borderId="0" xfId="1" applyFont="1" applyBorder="1"/>
    <xf numFmtId="0" fontId="8" fillId="6" borderId="17" xfId="0" applyFont="1" applyFill="1" applyBorder="1" applyAlignment="1">
      <alignment horizontal="left" vertical="center" wrapText="1"/>
    </xf>
    <xf numFmtId="0" fontId="8" fillId="6" borderId="18" xfId="0" applyFont="1" applyFill="1" applyBorder="1" applyAlignment="1">
      <alignment horizontal="left" vertical="center" wrapText="1"/>
    </xf>
    <xf numFmtId="0" fontId="8" fillId="6" borderId="19" xfId="0" applyFont="1" applyFill="1" applyBorder="1" applyAlignment="1">
      <alignment horizontal="left" vertical="center" wrapText="1"/>
    </xf>
    <xf numFmtId="42" fontId="4" fillId="0" borderId="16" xfId="2" applyFont="1" applyBorder="1" applyAlignment="1">
      <alignment horizontal="center" vertical="center" wrapText="1"/>
    </xf>
    <xf numFmtId="0" fontId="2" fillId="0" borderId="1" xfId="0" applyFont="1" applyBorder="1"/>
    <xf numFmtId="41" fontId="2" fillId="0" borderId="2" xfId="1" applyFont="1" applyBorder="1"/>
    <xf numFmtId="41" fontId="0" fillId="0" borderId="2" xfId="1" applyFont="1" applyBorder="1"/>
    <xf numFmtId="41" fontId="0" fillId="0" borderId="2" xfId="0" applyNumberFormat="1" applyBorder="1"/>
    <xf numFmtId="0" fontId="9" fillId="0" borderId="3" xfId="0" applyFont="1" applyBorder="1"/>
    <xf numFmtId="0" fontId="4" fillId="6" borderId="4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42" fontId="4" fillId="0" borderId="5" xfId="2" applyFont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left" vertical="center" wrapText="1"/>
    </xf>
    <xf numFmtId="0" fontId="4" fillId="4" borderId="21" xfId="0" applyFont="1" applyFill="1" applyBorder="1" applyAlignment="1">
      <alignment horizontal="left" vertical="center" wrapText="1"/>
    </xf>
    <xf numFmtId="0" fontId="7" fillId="5" borderId="22" xfId="0" applyFont="1" applyFill="1" applyBorder="1" applyAlignment="1">
      <alignment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42" fontId="7" fillId="4" borderId="5" xfId="2" applyFont="1" applyFill="1" applyBorder="1" applyAlignment="1">
      <alignment horizontal="center" vertical="center" wrapText="1"/>
    </xf>
    <xf numFmtId="41" fontId="0" fillId="0" borderId="0" xfId="1" applyFont="1" applyFill="1"/>
    <xf numFmtId="0" fontId="9" fillId="0" borderId="0" xfId="0" applyFont="1"/>
    <xf numFmtId="0" fontId="12" fillId="7" borderId="16" xfId="0" applyFont="1" applyFill="1" applyBorder="1" applyAlignment="1">
      <alignment vertical="center" wrapText="1"/>
    </xf>
    <xf numFmtId="0" fontId="7" fillId="7" borderId="16" xfId="0" applyFont="1" applyFill="1" applyBorder="1" applyAlignment="1">
      <alignment horizontal="center" vertical="center" wrapText="1"/>
    </xf>
    <xf numFmtId="42" fontId="7" fillId="8" borderId="16" xfId="2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vertical="center" wrapText="1"/>
    </xf>
    <xf numFmtId="42" fontId="5" fillId="4" borderId="24" xfId="2" applyFont="1" applyFill="1" applyBorder="1" applyAlignment="1">
      <alignment horizontal="center" vertical="center" wrapText="1"/>
    </xf>
    <xf numFmtId="165" fontId="5" fillId="2" borderId="15" xfId="3" applyNumberFormat="1" applyFont="1" applyFill="1" applyBorder="1" applyAlignment="1">
      <alignment horizontal="center"/>
    </xf>
    <xf numFmtId="42" fontId="7" fillId="5" borderId="11" xfId="2" applyFont="1" applyFill="1" applyBorder="1" applyAlignment="1">
      <alignment horizontal="center" vertical="center" wrapText="1"/>
    </xf>
    <xf numFmtId="41" fontId="0" fillId="0" borderId="0" xfId="0" applyNumberFormat="1"/>
    <xf numFmtId="0" fontId="5" fillId="9" borderId="22" xfId="0" applyFont="1" applyFill="1" applyBorder="1" applyAlignment="1">
      <alignment vertical="center" wrapText="1"/>
    </xf>
    <xf numFmtId="0" fontId="13" fillId="4" borderId="25" xfId="0" applyFont="1" applyFill="1" applyBorder="1" applyAlignment="1">
      <alignment horizontal="center" vertical="center" wrapText="1"/>
    </xf>
    <xf numFmtId="10" fontId="5" fillId="2" borderId="15" xfId="3" applyNumberFormat="1" applyFont="1" applyFill="1" applyBorder="1" applyAlignment="1">
      <alignment horizontal="center"/>
    </xf>
    <xf numFmtId="0" fontId="7" fillId="5" borderId="4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7" fillId="10" borderId="17" xfId="0" applyFont="1" applyFill="1" applyBorder="1" applyAlignment="1">
      <alignment horizontal="left" vertical="center" wrapText="1"/>
    </xf>
    <xf numFmtId="0" fontId="7" fillId="10" borderId="18" xfId="0" applyFont="1" applyFill="1" applyBorder="1" applyAlignment="1">
      <alignment horizontal="left" vertical="center" wrapText="1"/>
    </xf>
    <xf numFmtId="0" fontId="7" fillId="10" borderId="18" xfId="0" applyFont="1" applyFill="1" applyBorder="1" applyAlignment="1">
      <alignment horizontal="left" vertical="center" wrapText="1"/>
    </xf>
    <xf numFmtId="42" fontId="7" fillId="10" borderId="19" xfId="2" applyFont="1" applyFill="1" applyBorder="1" applyAlignment="1">
      <alignment horizontal="center" vertical="center" wrapText="1"/>
    </xf>
    <xf numFmtId="0" fontId="16" fillId="0" borderId="0" xfId="0" applyFont="1"/>
    <xf numFmtId="0" fontId="7" fillId="11" borderId="17" xfId="0" applyFont="1" applyFill="1" applyBorder="1" applyAlignment="1">
      <alignment horizontal="left" vertical="center" wrapText="1"/>
    </xf>
    <xf numFmtId="0" fontId="7" fillId="11" borderId="18" xfId="0" applyFont="1" applyFill="1" applyBorder="1" applyAlignment="1">
      <alignment horizontal="left" vertical="center" wrapText="1"/>
    </xf>
    <xf numFmtId="42" fontId="7" fillId="11" borderId="19" xfId="2" applyFont="1" applyFill="1" applyBorder="1" applyAlignment="1">
      <alignment horizontal="center" vertical="center" wrapText="1"/>
    </xf>
  </cellXfs>
  <cellStyles count="4">
    <cellStyle name="Comma [0]" xfId="1" builtinId="6"/>
    <cellStyle name="Currency [0]" xfId="2" builtinId="7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F532-6ADF-4FD2-B73C-C4109A62058E}">
  <sheetPr>
    <tabColor rgb="FF0070C0"/>
  </sheetPr>
  <dimension ref="B3:L28"/>
  <sheetViews>
    <sheetView showGridLines="0" tabSelected="1" topLeftCell="A5" zoomScale="85" zoomScaleNormal="85" workbookViewId="0">
      <selection activeCell="G8" sqref="G8"/>
    </sheetView>
  </sheetViews>
  <sheetFormatPr defaultRowHeight="15"/>
  <cols>
    <col min="2" max="2" width="61.5703125" customWidth="1"/>
    <col min="3" max="3" width="26.140625" customWidth="1"/>
    <col min="4" max="4" width="27.85546875" customWidth="1"/>
    <col min="5" max="5" width="36.5703125" customWidth="1"/>
    <col min="7" max="7" width="21.140625" customWidth="1"/>
    <col min="8" max="8" width="15.140625" customWidth="1"/>
    <col min="9" max="9" width="17.5703125" customWidth="1"/>
    <col min="10" max="10" width="15" customWidth="1"/>
  </cols>
  <sheetData>
    <row r="3" spans="2:12">
      <c r="B3" s="1" t="s">
        <v>0</v>
      </c>
    </row>
    <row r="5" spans="2:12">
      <c r="B5" s="2" t="s">
        <v>1</v>
      </c>
    </row>
    <row r="6" spans="2:12" ht="18">
      <c r="B6" s="3" t="s">
        <v>2</v>
      </c>
      <c r="C6" s="4">
        <v>46162</v>
      </c>
      <c r="D6" s="4"/>
      <c r="E6" s="5"/>
      <c r="G6" s="6" t="s">
        <v>3</v>
      </c>
      <c r="H6" s="7" t="s">
        <v>4</v>
      </c>
      <c r="I6" s="7"/>
      <c r="J6" s="7"/>
      <c r="K6" s="7"/>
      <c r="L6" s="8"/>
    </row>
    <row r="7" spans="2:12" ht="18">
      <c r="B7" s="9"/>
      <c r="C7" s="10"/>
      <c r="D7" s="11"/>
      <c r="E7" s="12"/>
      <c r="G7" s="13">
        <v>0</v>
      </c>
      <c r="H7">
        <v>62</v>
      </c>
      <c r="I7" t="s">
        <v>5</v>
      </c>
      <c r="L7" s="14"/>
    </row>
    <row r="8" spans="2:12" ht="18.75" thickBot="1">
      <c r="B8" s="15" t="s">
        <v>6</v>
      </c>
      <c r="C8" s="16" t="s">
        <v>7</v>
      </c>
      <c r="D8" s="17" t="s">
        <v>8</v>
      </c>
      <c r="E8" s="18"/>
      <c r="G8" s="13">
        <v>0</v>
      </c>
      <c r="H8">
        <v>48</v>
      </c>
      <c r="I8" t="s">
        <v>9</v>
      </c>
      <c r="L8" s="14"/>
    </row>
    <row r="9" spans="2:12" ht="18.75" thickBot="1">
      <c r="B9" s="19" t="s">
        <v>10</v>
      </c>
      <c r="C9" s="20"/>
      <c r="D9" s="21"/>
      <c r="E9" s="12"/>
      <c r="G9" s="13">
        <v>0</v>
      </c>
      <c r="H9">
        <v>151</v>
      </c>
      <c r="I9" t="s">
        <v>11</v>
      </c>
      <c r="L9" s="14"/>
    </row>
    <row r="10" spans="2:12" ht="18.75" thickBot="1">
      <c r="B10" s="22" t="s">
        <v>12</v>
      </c>
      <c r="C10" s="20">
        <v>3</v>
      </c>
      <c r="D10" s="21">
        <v>462</v>
      </c>
      <c r="E10" s="12"/>
      <c r="G10" s="23">
        <v>158117</v>
      </c>
      <c r="H10" s="24">
        <v>77</v>
      </c>
      <c r="I10" s="24" t="s">
        <v>13</v>
      </c>
      <c r="J10" s="24"/>
      <c r="K10" s="24"/>
      <c r="L10" s="25"/>
    </row>
    <row r="11" spans="2:12" ht="18">
      <c r="B11" s="26" t="s">
        <v>14</v>
      </c>
      <c r="C11" s="27"/>
      <c r="D11" s="28"/>
      <c r="E11" s="12"/>
      <c r="I11" t="s">
        <v>15</v>
      </c>
    </row>
    <row r="12" spans="2:12" ht="18">
      <c r="B12" s="29" t="s">
        <v>16</v>
      </c>
      <c r="C12" s="30"/>
      <c r="D12" s="30"/>
      <c r="E12" s="31">
        <f>SUM(D9:D11)</f>
        <v>462</v>
      </c>
    </row>
    <row r="13" spans="2:12" ht="18.75" thickBot="1">
      <c r="B13" s="19" t="s">
        <v>17</v>
      </c>
      <c r="C13" s="20">
        <v>11</v>
      </c>
      <c r="D13" s="21">
        <v>260143</v>
      </c>
      <c r="E13" s="12"/>
      <c r="G13" s="6" t="s">
        <v>18</v>
      </c>
      <c r="H13" s="32"/>
    </row>
    <row r="14" spans="2:12" ht="18.75" thickBot="1">
      <c r="B14" s="33" t="s">
        <v>19</v>
      </c>
      <c r="C14" s="34"/>
      <c r="D14" s="35"/>
      <c r="E14" s="18"/>
      <c r="G14" s="36" t="s">
        <v>20</v>
      </c>
      <c r="H14" s="37"/>
      <c r="I14" s="38">
        <f>+H14+D10</f>
        <v>462</v>
      </c>
    </row>
    <row r="15" spans="2:12" ht="18.75" thickBot="1">
      <c r="B15" s="33" t="s">
        <v>21</v>
      </c>
      <c r="C15" s="34"/>
      <c r="D15" s="35"/>
      <c r="E15" s="18"/>
      <c r="H15" s="39"/>
    </row>
    <row r="16" spans="2:12" ht="18">
      <c r="B16" s="29" t="s">
        <v>22</v>
      </c>
      <c r="C16" s="30"/>
      <c r="D16" s="30"/>
      <c r="E16" s="31">
        <f>-SUM(D13:D15)</f>
        <v>-260143</v>
      </c>
    </row>
    <row r="17" spans="2:11" ht="18">
      <c r="B17" s="40" t="s">
        <v>23</v>
      </c>
      <c r="C17" s="41"/>
      <c r="D17" s="42"/>
      <c r="E17" s="43">
        <f>+G10*-1</f>
        <v>-158117</v>
      </c>
      <c r="G17" s="44" t="s">
        <v>24</v>
      </c>
      <c r="H17" s="45">
        <v>300000</v>
      </c>
      <c r="I17" s="46">
        <v>0</v>
      </c>
      <c r="J17" s="47">
        <f>+I17+H17</f>
        <v>300000</v>
      </c>
      <c r="K17" s="48" t="s">
        <v>25</v>
      </c>
    </row>
    <row r="18" spans="2:11" ht="18">
      <c r="B18" s="49"/>
      <c r="C18" s="50"/>
      <c r="D18" s="50"/>
      <c r="E18" s="51"/>
      <c r="G18" s="36" t="s">
        <v>26</v>
      </c>
      <c r="H18" s="24">
        <v>1</v>
      </c>
      <c r="I18" s="24"/>
      <c r="J18" s="24"/>
      <c r="K18" s="25"/>
    </row>
    <row r="19" spans="2:11" ht="18.75" thickBot="1">
      <c r="B19" s="52" t="s">
        <v>27</v>
      </c>
      <c r="C19" s="53"/>
      <c r="D19" s="53"/>
      <c r="E19" s="21"/>
    </row>
    <row r="20" spans="2:11" ht="18">
      <c r="B20" s="54" t="s">
        <v>28</v>
      </c>
      <c r="C20" s="55" t="s">
        <v>29</v>
      </c>
      <c r="D20" s="55"/>
      <c r="E20" s="31">
        <f>+E12+E16+E17</f>
        <v>-417798</v>
      </c>
    </row>
    <row r="21" spans="2:11" ht="18">
      <c r="B21" s="56"/>
      <c r="C21" s="57"/>
      <c r="D21" s="57"/>
      <c r="E21" s="58"/>
      <c r="G21" t="s">
        <v>30</v>
      </c>
      <c r="H21" s="59"/>
      <c r="K21" s="60"/>
    </row>
    <row r="22" spans="2:11" ht="18">
      <c r="B22" s="61" t="s">
        <v>31</v>
      </c>
      <c r="C22" s="62" t="s">
        <v>32</v>
      </c>
      <c r="D22" s="63" t="s">
        <v>33</v>
      </c>
      <c r="E22" s="18"/>
      <c r="G22" t="s">
        <v>34</v>
      </c>
      <c r="H22" s="59">
        <f>+H21/0.19</f>
        <v>0</v>
      </c>
      <c r="I22" s="59">
        <f>+H22*0.19</f>
        <v>0</v>
      </c>
      <c r="J22" s="60" t="s">
        <v>25</v>
      </c>
    </row>
    <row r="23" spans="2:11" ht="18.75" thickBot="1">
      <c r="B23" s="64" t="s">
        <v>35</v>
      </c>
      <c r="C23" s="65">
        <f>(E12/0.19)</f>
        <v>2431.5789473684208</v>
      </c>
      <c r="D23" s="66">
        <v>1.25E-3</v>
      </c>
      <c r="E23" s="67">
        <f>C23*D23</f>
        <v>3.0394736842105261</v>
      </c>
      <c r="G23" t="s">
        <v>36</v>
      </c>
      <c r="H23" s="68">
        <f>+H22+H21</f>
        <v>0</v>
      </c>
    </row>
    <row r="24" spans="2:11" ht="18.75" thickBot="1">
      <c r="B24" s="69" t="s">
        <v>37</v>
      </c>
      <c r="C24" s="70"/>
      <c r="D24" s="71">
        <f>13.75%+0.75%</f>
        <v>0.14500000000000002</v>
      </c>
      <c r="E24" s="67">
        <v>0</v>
      </c>
    </row>
    <row r="25" spans="2:11" ht="18.75" thickBot="1">
      <c r="B25" s="72" t="s">
        <v>38</v>
      </c>
      <c r="C25" s="73"/>
      <c r="D25" s="74"/>
      <c r="E25" s="67">
        <v>0</v>
      </c>
      <c r="G25" t="s">
        <v>39</v>
      </c>
      <c r="H25" s="38">
        <f>+E16+E17</f>
        <v>-418260</v>
      </c>
    </row>
    <row r="26" spans="2:11" ht="18">
      <c r="B26" s="56"/>
      <c r="C26" s="57"/>
      <c r="D26" s="57"/>
      <c r="E26" s="58"/>
    </row>
    <row r="27" spans="2:11" ht="18">
      <c r="B27" s="75" t="s">
        <v>40</v>
      </c>
      <c r="C27" s="76"/>
      <c r="D27" s="77"/>
      <c r="E27" s="78">
        <f>SUM(E23:E25)</f>
        <v>3.0394736842105261</v>
      </c>
      <c r="G27" s="79" t="s">
        <v>41</v>
      </c>
    </row>
    <row r="28" spans="2:11" ht="18">
      <c r="B28" s="80"/>
      <c r="C28" s="81"/>
      <c r="D28" s="81"/>
      <c r="E28" s="82"/>
    </row>
  </sheetData>
  <mergeCells count="5">
    <mergeCell ref="C6:E6"/>
    <mergeCell ref="B17:D17"/>
    <mergeCell ref="C20:D20"/>
    <mergeCell ref="B25:D25"/>
    <mergeCell ref="B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Robles Bustamante</dc:creator>
  <cp:lastModifiedBy>Sebastian Robles Bustamante</cp:lastModifiedBy>
  <dcterms:created xsi:type="dcterms:W3CDTF">2026-06-01T23:27:24Z</dcterms:created>
  <dcterms:modified xsi:type="dcterms:W3CDTF">2026-06-01T23:28:28Z</dcterms:modified>
</cp:coreProperties>
</file>